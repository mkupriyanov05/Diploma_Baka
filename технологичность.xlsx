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 Kupriyanov\Desktop\Diploma_Baka\"/>
    </mc:Choice>
  </mc:AlternateContent>
  <xr:revisionPtr revIDLastSave="0" documentId="13_ncr:1_{72E48F07-B7EE-4663-8C46-CAB35F0173C8}" xr6:coauthVersionLast="47" xr6:coauthVersionMax="47" xr10:uidLastSave="{00000000-0000-0000-0000-000000000000}"/>
  <bookViews>
    <workbookView xWindow="-110" yWindow="-110" windowWidth="19420" windowHeight="11500" xr2:uid="{5FEA9C81-9612-437D-A66A-4C22BAC8688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2" i="1" l="1"/>
  <c r="L10" i="1"/>
  <c r="M10" i="1"/>
  <c r="M3" i="1"/>
  <c r="M4" i="1"/>
  <c r="M5" i="1"/>
  <c r="M6" i="1"/>
  <c r="M7" i="1"/>
  <c r="M8" i="1"/>
  <c r="M2" i="1"/>
  <c r="K8" i="1"/>
  <c r="K7" i="1"/>
  <c r="K6" i="1"/>
  <c r="K5" i="1"/>
  <c r="K4" i="1"/>
  <c r="K3" i="1"/>
  <c r="K2" i="1"/>
  <c r="H30" i="1"/>
  <c r="H29" i="1"/>
  <c r="D16" i="1"/>
  <c r="D15" i="1"/>
  <c r="G28" i="1"/>
  <c r="C12" i="1"/>
  <c r="D4" i="1"/>
  <c r="D5" i="1"/>
  <c r="D7" i="1"/>
  <c r="D10" i="1"/>
  <c r="C8" i="1"/>
  <c r="D8" i="1" s="1"/>
  <c r="C9" i="1"/>
  <c r="D9" i="1" s="1"/>
  <c r="C6" i="1"/>
  <c r="D6" i="1" s="1"/>
  <c r="D3" i="1"/>
  <c r="D2" i="1"/>
  <c r="D12" i="1" s="1"/>
  <c r="C3" i="1"/>
</calcChain>
</file>

<file path=xl/sharedStrings.xml><?xml version="1.0" encoding="utf-8"?>
<sst xmlns="http://schemas.openxmlformats.org/spreadsheetml/2006/main" count="48" uniqueCount="44">
  <si>
    <t>Кварц</t>
  </si>
  <si>
    <t>Рез</t>
  </si>
  <si>
    <t>Раз 2</t>
  </si>
  <si>
    <t>Раз джек</t>
  </si>
  <si>
    <t>Конд</t>
  </si>
  <si>
    <t>Стаб</t>
  </si>
  <si>
    <t>SOIC 14</t>
  </si>
  <si>
    <t>SOIC 16</t>
  </si>
  <si>
    <t>Пот</t>
  </si>
  <si>
    <t>колво ног</t>
  </si>
  <si>
    <t>колво</t>
  </si>
  <si>
    <t>всего ног</t>
  </si>
  <si>
    <t>Конд кер 20п</t>
  </si>
  <si>
    <t>Конд кер 4,7н</t>
  </si>
  <si>
    <t>Конд кер 100н</t>
  </si>
  <si>
    <t>Конд кер 1мк</t>
  </si>
  <si>
    <t>Конд эл 1мк</t>
  </si>
  <si>
    <t>Конд эл 10мк</t>
  </si>
  <si>
    <t>78l05</t>
  </si>
  <si>
    <t>lm339</t>
  </si>
  <si>
    <t>mcp6004</t>
  </si>
  <si>
    <t>74hc4066</t>
  </si>
  <si>
    <t>74hc14</t>
  </si>
  <si>
    <t>74hc148</t>
  </si>
  <si>
    <t>74hc02</t>
  </si>
  <si>
    <t>74hc75</t>
  </si>
  <si>
    <t>рез 316</t>
  </si>
  <si>
    <t>рез 1к</t>
  </si>
  <si>
    <t>рез 5,1к</t>
  </si>
  <si>
    <t xml:space="preserve">рез 10к </t>
  </si>
  <si>
    <t>рез 10к 1%</t>
  </si>
  <si>
    <t>рез 20к</t>
  </si>
  <si>
    <t>рез 1М</t>
  </si>
  <si>
    <t>пот 10к</t>
  </si>
  <si>
    <t>не мех путь</t>
  </si>
  <si>
    <t>имс</t>
  </si>
  <si>
    <t>мех монт</t>
  </si>
  <si>
    <t>мех подг</t>
  </si>
  <si>
    <t>мех контр</t>
  </si>
  <si>
    <t>повт иэт</t>
  </si>
  <si>
    <t>прим иэт</t>
  </si>
  <si>
    <t>исп прогр форм</t>
  </si>
  <si>
    <t>коэф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</si>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</sst>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FB65-2470-46D7-8661-F4EED98153E3}">
  <dimension ref="A1:M30"/>
  <sheetViews>
    <sheetView tabSelected="1" topLeftCell="E1" zoomScale="96" workbookViewId="0">
      <selection activeCell="M16" sqref="M16"/>
    </sheetView>
  </sheetViews>
  <sheetFormatPr defaultRowHeight="14.5" x14ac:dyDescent="0.35"/>
  <sheetData>
    <row r="1" spans="1:13" x14ac:dyDescent="0.35">
      <c r="B1" t="s">
        <v>9</v>
      </c>
      <c r="C1" t="s">
        <v>10</v>
      </c>
      <c r="D1" t="s">
        <v>11</v>
      </c>
      <c r="K1" t="s">
        <v>42</v>
      </c>
      <c r="L1" t="s">
        <v>43</v>
      </c>
    </row>
    <row r="2" spans="1:13" x14ac:dyDescent="0.35">
      <c r="A2" t="s">
        <v>0</v>
      </c>
      <c r="B2">
        <v>4</v>
      </c>
      <c r="C2">
        <v>1</v>
      </c>
      <c r="D2">
        <f>B2*C2</f>
        <v>4</v>
      </c>
      <c r="F2" t="s">
        <v>2</v>
      </c>
      <c r="G2">
        <v>1</v>
      </c>
      <c r="I2">
        <v>1</v>
      </c>
      <c r="J2" t="s">
        <v>35</v>
      </c>
      <c r="K2" s="1">
        <f>12/89</f>
        <v>0.1348314606741573</v>
      </c>
      <c r="L2">
        <v>1</v>
      </c>
      <c r="M2">
        <f>K2*L2</f>
        <v>0.1348314606741573</v>
      </c>
    </row>
    <row r="3" spans="1:13" x14ac:dyDescent="0.35">
      <c r="A3" t="s">
        <v>1</v>
      </c>
      <c r="B3">
        <v>2</v>
      </c>
      <c r="C3">
        <f>15+1+17+2+4+5+3</f>
        <v>47</v>
      </c>
      <c r="D3">
        <f>B3*C3</f>
        <v>94</v>
      </c>
      <c r="F3" t="s">
        <v>3</v>
      </c>
      <c r="G3">
        <v>2</v>
      </c>
      <c r="I3">
        <v>2</v>
      </c>
      <c r="J3" t="s">
        <v>36</v>
      </c>
      <c r="K3" s="1">
        <f>309/325</f>
        <v>0.95076923076923081</v>
      </c>
      <c r="L3">
        <v>0.8</v>
      </c>
      <c r="M3">
        <f t="shared" ref="M3:M8" si="0">K3*L3</f>
        <v>0.76061538461538469</v>
      </c>
    </row>
    <row r="4" spans="1:13" x14ac:dyDescent="0.35">
      <c r="A4" t="s">
        <v>2</v>
      </c>
      <c r="B4">
        <v>2</v>
      </c>
      <c r="C4">
        <v>1</v>
      </c>
      <c r="D4">
        <f t="shared" ref="D4:D10" si="1">B4*C4</f>
        <v>2</v>
      </c>
      <c r="F4" t="s">
        <v>0</v>
      </c>
      <c r="G4">
        <v>1</v>
      </c>
      <c r="I4">
        <v>3</v>
      </c>
      <c r="J4" t="s">
        <v>37</v>
      </c>
      <c r="K4" s="1">
        <f>84/89</f>
        <v>0.9438202247191011</v>
      </c>
      <c r="L4">
        <v>0.5</v>
      </c>
      <c r="M4">
        <f t="shared" si="0"/>
        <v>0.47191011235955055</v>
      </c>
    </row>
    <row r="5" spans="1:13" x14ac:dyDescent="0.35">
      <c r="A5" t="s">
        <v>3</v>
      </c>
      <c r="B5">
        <v>4</v>
      </c>
      <c r="C5">
        <v>2</v>
      </c>
      <c r="D5">
        <f t="shared" si="1"/>
        <v>8</v>
      </c>
      <c r="F5" t="s">
        <v>12</v>
      </c>
      <c r="G5">
        <v>2</v>
      </c>
      <c r="I5">
        <v>4</v>
      </c>
      <c r="J5" t="s">
        <v>38</v>
      </c>
      <c r="K5" s="1">
        <f>2/3</f>
        <v>0.66666666666666663</v>
      </c>
      <c r="L5">
        <v>0.5</v>
      </c>
      <c r="M5">
        <f t="shared" si="0"/>
        <v>0.33333333333333331</v>
      </c>
    </row>
    <row r="6" spans="1:13" x14ac:dyDescent="0.35">
      <c r="A6" t="s">
        <v>4</v>
      </c>
      <c r="B6">
        <v>2</v>
      </c>
      <c r="C6">
        <f>2+1+9+2+9+1</f>
        <v>24</v>
      </c>
      <c r="D6">
        <f t="shared" si="1"/>
        <v>48</v>
      </c>
      <c r="F6" t="s">
        <v>13</v>
      </c>
      <c r="G6">
        <v>1</v>
      </c>
      <c r="I6">
        <v>5</v>
      </c>
      <c r="J6" t="s">
        <v>39</v>
      </c>
      <c r="K6" s="1">
        <f>1-(25/89)</f>
        <v>0.7191011235955056</v>
      </c>
      <c r="L6">
        <v>0.3</v>
      </c>
      <c r="M6">
        <f t="shared" si="0"/>
        <v>0.21573033707865166</v>
      </c>
    </row>
    <row r="7" spans="1:13" x14ac:dyDescent="0.35">
      <c r="A7" t="s">
        <v>5</v>
      </c>
      <c r="B7">
        <v>3</v>
      </c>
      <c r="C7">
        <v>1</v>
      </c>
      <c r="D7">
        <f t="shared" si="1"/>
        <v>3</v>
      </c>
      <c r="F7" t="s">
        <v>14</v>
      </c>
      <c r="G7">
        <v>9</v>
      </c>
      <c r="I7">
        <v>6</v>
      </c>
      <c r="J7" t="s">
        <v>40</v>
      </c>
      <c r="K7" s="1">
        <f>1</f>
        <v>1</v>
      </c>
      <c r="L7">
        <v>0.2</v>
      </c>
      <c r="M7">
        <f t="shared" si="0"/>
        <v>0.2</v>
      </c>
    </row>
    <row r="8" spans="1:13" x14ac:dyDescent="0.35">
      <c r="A8" t="s">
        <v>6</v>
      </c>
      <c r="B8">
        <v>14</v>
      </c>
      <c r="C8">
        <f>4+1+1+1+1</f>
        <v>8</v>
      </c>
      <c r="D8">
        <f t="shared" si="1"/>
        <v>112</v>
      </c>
      <c r="F8" t="s">
        <v>15</v>
      </c>
      <c r="G8">
        <v>2</v>
      </c>
      <c r="I8">
        <v>7</v>
      </c>
      <c r="J8" t="s">
        <v>41</v>
      </c>
      <c r="K8" s="1">
        <f>0</f>
        <v>0</v>
      </c>
      <c r="L8">
        <v>0.1</v>
      </c>
      <c r="M8">
        <f t="shared" si="0"/>
        <v>0</v>
      </c>
    </row>
    <row r="9" spans="1:13" x14ac:dyDescent="0.35">
      <c r="A9" t="s">
        <v>7</v>
      </c>
      <c r="B9">
        <v>16</v>
      </c>
      <c r="C9">
        <f>2+1</f>
        <v>3</v>
      </c>
      <c r="D9">
        <f t="shared" si="1"/>
        <v>48</v>
      </c>
      <c r="F9" t="s">
        <v>16</v>
      </c>
      <c r="G9">
        <v>9</v>
      </c>
    </row>
    <row r="10" spans="1:13" x14ac:dyDescent="0.35">
      <c r="A10" t="s">
        <v>8</v>
      </c>
      <c r="B10">
        <v>3</v>
      </c>
      <c r="C10">
        <v>2</v>
      </c>
      <c r="D10">
        <f t="shared" si="1"/>
        <v>6</v>
      </c>
      <c r="F10" t="s">
        <v>17</v>
      </c>
      <c r="G10">
        <v>1</v>
      </c>
      <c r="L10">
        <f>SUM(L2:L8)</f>
        <v>3.4</v>
      </c>
      <c r="M10">
        <f>SUM(M2:M8)</f>
        <v>2.1164206280610776</v>
      </c>
    </row>
    <row r="11" spans="1:13" x14ac:dyDescent="0.35">
      <c r="F11" t="s">
        <v>18</v>
      </c>
      <c r="G11">
        <v>1</v>
      </c>
    </row>
    <row r="12" spans="1:13" x14ac:dyDescent="0.35">
      <c r="C12">
        <f>SUM(C2:C10)</f>
        <v>89</v>
      </c>
      <c r="D12">
        <f>SUM(D2:D10)</f>
        <v>325</v>
      </c>
      <c r="F12" t="s">
        <v>19</v>
      </c>
      <c r="G12">
        <v>4</v>
      </c>
      <c r="M12">
        <f>M10/L10</f>
        <v>0.62247665531208163</v>
      </c>
    </row>
    <row r="13" spans="1:13" x14ac:dyDescent="0.35">
      <c r="F13" t="s">
        <v>20</v>
      </c>
      <c r="G13">
        <v>1</v>
      </c>
    </row>
    <row r="14" spans="1:13" x14ac:dyDescent="0.35">
      <c r="D14" t="s">
        <v>34</v>
      </c>
      <c r="F14" t="s">
        <v>21</v>
      </c>
      <c r="G14">
        <v>1</v>
      </c>
    </row>
    <row r="15" spans="1:13" x14ac:dyDescent="0.35">
      <c r="D15">
        <f>SUM(D4,D5,D10)</f>
        <v>16</v>
      </c>
      <c r="F15" t="s">
        <v>22</v>
      </c>
      <c r="G15">
        <v>1</v>
      </c>
    </row>
    <row r="16" spans="1:13" x14ac:dyDescent="0.35">
      <c r="D16">
        <f>D12-D15</f>
        <v>309</v>
      </c>
      <c r="F16" t="s">
        <v>23</v>
      </c>
      <c r="G16">
        <v>2</v>
      </c>
    </row>
    <row r="17" spans="6:8" x14ac:dyDescent="0.35">
      <c r="F17" t="s">
        <v>24</v>
      </c>
      <c r="G17">
        <v>1</v>
      </c>
    </row>
    <row r="18" spans="6:8" x14ac:dyDescent="0.35">
      <c r="F18" t="s">
        <v>25</v>
      </c>
      <c r="G18">
        <v>1</v>
      </c>
    </row>
    <row r="19" spans="6:8" x14ac:dyDescent="0.35">
      <c r="F19" t="s">
        <v>26</v>
      </c>
      <c r="G19">
        <v>15</v>
      </c>
    </row>
    <row r="20" spans="6:8" x14ac:dyDescent="0.35">
      <c r="F20" t="s">
        <v>27</v>
      </c>
      <c r="G20">
        <v>1</v>
      </c>
    </row>
    <row r="21" spans="6:8" x14ac:dyDescent="0.35">
      <c r="F21" t="s">
        <v>28</v>
      </c>
      <c r="G21">
        <v>17</v>
      </c>
    </row>
    <row r="22" spans="6:8" x14ac:dyDescent="0.35">
      <c r="F22" t="s">
        <v>30</v>
      </c>
      <c r="G22">
        <v>2</v>
      </c>
    </row>
    <row r="23" spans="6:8" x14ac:dyDescent="0.35">
      <c r="F23" t="s">
        <v>29</v>
      </c>
      <c r="G23">
        <v>4</v>
      </c>
    </row>
    <row r="24" spans="6:8" x14ac:dyDescent="0.35">
      <c r="F24" t="s">
        <v>31</v>
      </c>
      <c r="G24">
        <v>5</v>
      </c>
    </row>
    <row r="25" spans="6:8" x14ac:dyDescent="0.35">
      <c r="F25" t="s">
        <v>32</v>
      </c>
      <c r="G25">
        <v>3</v>
      </c>
    </row>
    <row r="26" spans="6:8" x14ac:dyDescent="0.35">
      <c r="F26" t="s">
        <v>33</v>
      </c>
      <c r="G26">
        <v>2</v>
      </c>
    </row>
    <row r="28" spans="6:8" x14ac:dyDescent="0.35">
      <c r="F28">
        <v>25</v>
      </c>
      <c r="G28">
        <f>SUM(G2:G26)</f>
        <v>89</v>
      </c>
      <c r="H28" t="s">
        <v>34</v>
      </c>
    </row>
    <row r="29" spans="6:8" x14ac:dyDescent="0.35">
      <c r="H29">
        <f>G2+G3+G26</f>
        <v>5</v>
      </c>
    </row>
    <row r="30" spans="6:8" x14ac:dyDescent="0.35">
      <c r="H30">
        <f>G28-H29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Куприянов</dc:creator>
  <cp:lastModifiedBy>Михаил Куприянов</cp:lastModifiedBy>
  <dcterms:created xsi:type="dcterms:W3CDTF">2026-05-04T15:25:09Z</dcterms:created>
  <dcterms:modified xsi:type="dcterms:W3CDTF">2026-05-04T16:07:05Z</dcterms:modified>
</cp:coreProperties>
</file>